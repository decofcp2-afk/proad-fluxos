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MANDAS DO EXERCÍCIO" sheetId="1" state="visible" r:id="rId3"/>
    <sheet name="ESTIMATIVA ORÇAMENTO PG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<sst xmlns="http://schemas.openxmlformats.org/spreadsheetml/2006/main" count="30" uniqueCount="30">
  <si>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PLANEJAMENTO DAS DEMANDAS - [UNIDADE/ANO]</t>
  </si>
  <si>
    <t xml:space="preserve">TOTAL CADASTRADO NESTE PLANEJAMENTO</t>
  </si>
  <si>
    <t xml:space="preserve">TOTAL DE ORÇAMENTO ESTIMANDO NO PGC [ANO]</t>
  </si>
  <si>
    <t xml:space="preserve">CONFORMIDADE DO REGISTRO NO PGC [ANO]</t>
  </si>
  <si>
    <t xml:space="preserve">ITEM</t>
  </si>
  <si>
    <t xml:space="preserve">OBJETO (DEMANDA)</t>
  </si>
  <si>
    <t xml:space="preserve">DEMANDANTE</t>
  </si>
  <si>
    <t xml:space="preserve">VALOR APROXIMADO (R$)</t>
  </si>
  <si>
    <t xml:space="preserve">INCLUIR NO PGC?</t>
  </si>
  <si>
    <t xml:space="preserve">Compra de material de expediente (exemplo)</t>
  </si>
  <si>
    <t xml:space="preserve">Seção de Almoxarifado</t>
  </si>
  <si>
    <t xml:space="preserve">Contratação de serviços de impressão de cartaz (exemplo)</t>
  </si>
  <si>
    <t xml:space="preserve">PROPGPEC</t>
  </si>
  <si>
    <t xml:space="preserve">ORÇAMENTO PDO DO ANO VIGENTE</t>
  </si>
  <si>
    <t xml:space="preserve">EMENDAS / TED PREVISTOS NO EXERCÍCIO EM ANDAMENTO</t>
  </si>
  <si>
    <t xml:space="preserve">TOTAL DE ORÇAMENTO PREVISTO P/ O PRÓXIMO EXERCÍCIO</t>
  </si>
  <si>
    <t xml:space="preserve">TOTAL ESTIMADO DE DESPESAS FIXAS (CONFORME CONTRATOS VIGENTES E CPII EM NÚMEROS)</t>
  </si>
  <si>
    <t xml:space="preserve">TOTAL ESTIMADO DISPONÍVEL PARA NOVAS CONTRATAÇÕES (PGC DO PRÓXIMO ANO)</t>
  </si>
  <si>
    <t xml:space="preserve">GASTOS FIXOS ESTIMATIVOS (ANUAL)</t>
  </si>
  <si>
    <t xml:space="preserve">LIMPEZA E CONSERVAÇÃO</t>
  </si>
  <si>
    <t xml:space="preserve">MANUTENÇÃO PREDIAL</t>
  </si>
  <si>
    <t xml:space="preserve">CUIDADORES</t>
  </si>
  <si>
    <t xml:space="preserve">COZINHEIROS</t>
  </si>
  <si>
    <t xml:space="preserve">VIGILÂNCIA</t>
  </si>
  <si>
    <t xml:space="preserve">PORTEIROS/RECEPCIONISTAS</t>
  </si>
  <si>
    <t xml:space="preserve">MANUTENÇÃO DE ELEVADORES</t>
  </si>
  <si>
    <t xml:space="preserve">MANUTENÇÃO DE APARELHOS DE AR CONDICIONADO</t>
  </si>
  <si>
    <t xml:space="preserve">GÊNEROS ALIMENTÍCIOS</t>
  </si>
  <si>
    <t xml:space="preserve">OUTSOURCING DE IMPRESSÃO</t>
  </si>
  <si>
    <t xml:space="preserve">TOTAL (R$)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</si>
</sst>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[$R$-416]\ * #,##0.00_-;\-[$R$-416]\ * #,##0.00_-;_-[$R$-416]\ * \-??_-;_-@_-"/>
    <numFmt numFmtId="166" formatCode="General"/>
    <numFmt numFmtId="167" formatCode="[$R$-416]\ #,##0.00;[RED]\-[$R$-416]\ #,##0.00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0"/>
      <name val="Aptos Narrow"/>
      <family val="2"/>
      <charset val="1"/>
    </font>
    <font>
      <b val="true"/>
      <sz val="13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0"/>
      <color theme="0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3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>
        <color rgb="FFCCCCCC"/>
      </left>
      <right style="thin"/>
      <top style="thin"/>
      <bottom style="thin"/>
      <diagonal/>
    </border>
    <border diagonalUp="false" diagonalDown="false">
      <left style="thin">
        <color rgb="FFCCCCCC"/>
      </left>
      <right style="thin"/>
      <top style="thin">
        <color rgb="FFCCCCCC"/>
      </top>
      <bottom style="thin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  <border diagonalUp="false" diagonalDown="false">
      <left style="thin">
        <color rgb="FFCCCCCC"/>
      </left>
      <right style="thin"/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7" fontId="8" fillId="0" borderId="1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7" fontId="9" fillId="0" borderId="1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7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1.29"/>
    <col collapsed="false" customWidth="true" hidden="false" outlineLevel="0" max="2" min="2" style="1" width="9.29"/>
    <col collapsed="false" customWidth="true" hidden="false" outlineLevel="0" max="3" min="3" style="2" width="68.57"/>
    <col collapsed="false" customWidth="true" hidden="false" outlineLevel="0" max="4" min="4" style="2" width="29.29"/>
    <col collapsed="false" customWidth="true" hidden="false" outlineLevel="0" max="5" min="5" style="2" width="36.29"/>
    <col collapsed="false" customWidth="true" hidden="false" outlineLevel="0" max="6" min="6" style="3" width="37.43"/>
    <col collapsed="false" customWidth="true" hidden="false" outlineLevel="0" max="7" min="7" style="0" width="2"/>
  </cols>
  <sheetData>
    <row r="1" customFormat="false" ht="7.5" hidden="false" customHeight="true" outlineLevel="0" collapsed="false">
      <c r="A1" s="4"/>
      <c r="B1" s="5"/>
      <c r="C1" s="6"/>
      <c r="D1" s="6"/>
      <c r="E1" s="6"/>
      <c r="F1" s="7"/>
      <c r="G1" s="8"/>
    </row>
    <row r="2" customFormat="false" ht="33.75" hidden="false" customHeight="true" outlineLevel="0" collapsed="false">
      <c r="A2" s="9"/>
      <c r="B2" s="10" t="s">
        <v>0</v>
      </c>
      <c r="C2" s="10"/>
      <c r="D2" s="10"/>
      <c r="E2" s="10"/>
      <c r="F2" s="10"/>
      <c r="G2" s="11"/>
    </row>
    <row r="3" customFormat="false" ht="6.75" hidden="false" customHeight="true" outlineLevel="0" collapsed="false">
      <c r="A3" s="9"/>
      <c r="E3" s="1"/>
      <c r="G3" s="11"/>
    </row>
    <row r="4" customFormat="false" ht="33.75" hidden="false" customHeight="true" outlineLevel="0" collapsed="false">
      <c r="A4" s="9"/>
      <c r="B4" s="12" t="s">
        <v>1</v>
      </c>
      <c r="C4" s="12"/>
      <c r="D4" s="12"/>
      <c r="E4" s="13" t="n">
        <f aca="false">SUMIF(F9:F42,"verdadeiro",E9:E42)</f>
        <v>1500000</v>
      </c>
      <c r="F4" s="13"/>
      <c r="G4" s="11"/>
    </row>
    <row r="5" customFormat="false" ht="33.75" hidden="false" customHeight="true" outlineLevel="0" collapsed="false">
      <c r="A5" s="9"/>
      <c r="B5" s="12" t="s">
        <v>2</v>
      </c>
      <c r="C5" s="12"/>
      <c r="D5" s="12"/>
      <c r="E5" s="13" t="n">
        <f aca="false">'ESTIMATIVA ORÇAMENTO PGC'!G2</f>
        <v>12105650.65</v>
      </c>
      <c r="F5" s="13"/>
      <c r="G5" s="11"/>
    </row>
    <row r="6" customFormat="false" ht="33.75" hidden="false" customHeight="true" outlineLevel="0" collapsed="false">
      <c r="A6" s="9"/>
      <c r="B6" s="12" t="s">
        <v>3</v>
      </c>
      <c r="C6" s="12"/>
      <c r="D6" s="12"/>
      <c r="E6" s="14" t="str">
        <f aca="false">IF(E5&gt;E4,"PLANEJAMENTO OK","REVISAR PLANEJAMENTO POR EXCESSO DE DEMANDA")</f>
        <v>PLANEJAMENTO OK</v>
      </c>
      <c r="F6" s="14"/>
      <c r="G6" s="11"/>
    </row>
    <row r="7" customFormat="false" ht="15" hidden="false" customHeight="false" outlineLevel="0" collapsed="false">
      <c r="A7" s="9"/>
      <c r="G7" s="11"/>
    </row>
    <row r="8" customFormat="false" ht="15" hidden="false" customHeight="false" outlineLevel="0" collapsed="false">
      <c r="A8" s="9"/>
      <c r="B8" s="15" t="s">
        <v>4</v>
      </c>
      <c r="C8" s="15" t="s">
        <v>5</v>
      </c>
      <c r="D8" s="15" t="s">
        <v>6</v>
      </c>
      <c r="E8" s="15" t="s">
        <v>7</v>
      </c>
      <c r="F8" s="16" t="s">
        <v>8</v>
      </c>
      <c r="G8" s="11"/>
    </row>
    <row r="9" customFormat="false" ht="15" hidden="false" customHeight="false" outlineLevel="0" collapsed="false">
      <c r="A9" s="9"/>
      <c r="B9" s="17" t="n">
        <v>1</v>
      </c>
      <c r="C9" s="18" t="s">
        <v>9</v>
      </c>
      <c r="D9" s="18" t="s">
        <v>10</v>
      </c>
      <c r="E9" s="19" t="n">
        <v>1500000</v>
      </c>
      <c r="F9" s="20" t="b">
        <f aca="false">TRUE()</f>
        <v>1</v>
      </c>
      <c r="G9" s="11"/>
    </row>
    <row r="10" customFormat="false" ht="15" hidden="false" customHeight="false" outlineLevel="0" collapsed="false">
      <c r="A10" s="9"/>
      <c r="B10" s="17" t="n">
        <v>2</v>
      </c>
      <c r="C10" s="18" t="s">
        <v>11</v>
      </c>
      <c r="D10" s="18" t="s">
        <v>12</v>
      </c>
      <c r="E10" s="19" t="n">
        <v>250000</v>
      </c>
      <c r="F10" s="20" t="b">
        <f aca="false">FALSE()</f>
        <v>0</v>
      </c>
      <c r="G10" s="11"/>
    </row>
    <row r="11" customFormat="false" ht="15" hidden="false" customHeight="false" outlineLevel="0" collapsed="false">
      <c r="A11" s="9"/>
      <c r="B11" s="17" t="n">
        <v>3</v>
      </c>
      <c r="C11" s="18"/>
      <c r="D11" s="18"/>
      <c r="E11" s="19"/>
      <c r="F11" s="20" t="b">
        <f aca="false">FALSE()</f>
        <v>0</v>
      </c>
      <c r="G11" s="11"/>
    </row>
    <row r="12" customFormat="false" ht="15" hidden="false" customHeight="false" outlineLevel="0" collapsed="false">
      <c r="A12" s="9"/>
      <c r="B12" s="17" t="n">
        <v>4</v>
      </c>
      <c r="C12" s="18"/>
      <c r="D12" s="18"/>
      <c r="E12" s="19"/>
      <c r="F12" s="20" t="b">
        <f aca="false">FALSE()</f>
        <v>0</v>
      </c>
      <c r="G12" s="11"/>
    </row>
    <row r="13" customFormat="false" ht="15" hidden="false" customHeight="false" outlineLevel="0" collapsed="false">
      <c r="A13" s="9"/>
      <c r="B13" s="17" t="n">
        <v>5</v>
      </c>
      <c r="C13" s="18"/>
      <c r="D13" s="18"/>
      <c r="E13" s="19"/>
      <c r="F13" s="20" t="b">
        <f aca="false">FALSE()</f>
        <v>0</v>
      </c>
      <c r="G13" s="11"/>
    </row>
    <row r="14" customFormat="false" ht="15" hidden="false" customHeight="false" outlineLevel="0" collapsed="false">
      <c r="A14" s="9"/>
      <c r="B14" s="17" t="n">
        <v>6</v>
      </c>
      <c r="C14" s="18"/>
      <c r="D14" s="18"/>
      <c r="E14" s="19"/>
      <c r="F14" s="20" t="b">
        <f aca="false">FALSE()</f>
        <v>0</v>
      </c>
      <c r="G14" s="11"/>
    </row>
    <row r="15" customFormat="false" ht="15" hidden="false" customHeight="false" outlineLevel="0" collapsed="false">
      <c r="A15" s="9"/>
      <c r="B15" s="17" t="n">
        <v>7</v>
      </c>
      <c r="C15" s="18"/>
      <c r="D15" s="18"/>
      <c r="E15" s="19"/>
      <c r="F15" s="20" t="b">
        <f aca="false">FALSE()</f>
        <v>0</v>
      </c>
      <c r="G15" s="11"/>
    </row>
    <row r="16" customFormat="false" ht="15" hidden="false" customHeight="false" outlineLevel="0" collapsed="false">
      <c r="A16" s="9"/>
      <c r="B16" s="17" t="n">
        <v>8</v>
      </c>
      <c r="C16" s="18"/>
      <c r="D16" s="18"/>
      <c r="E16" s="19"/>
      <c r="F16" s="20" t="b">
        <f aca="false">FALSE()</f>
        <v>0</v>
      </c>
      <c r="G16" s="11"/>
    </row>
    <row r="17" customFormat="false" ht="15" hidden="false" customHeight="false" outlineLevel="0" collapsed="false">
      <c r="A17" s="9"/>
      <c r="B17" s="17" t="n">
        <v>9</v>
      </c>
      <c r="C17" s="18"/>
      <c r="D17" s="18"/>
      <c r="E17" s="19"/>
      <c r="F17" s="20" t="b">
        <f aca="false">FALSE()</f>
        <v>0</v>
      </c>
      <c r="G17" s="11"/>
    </row>
    <row r="18" customFormat="false" ht="15" hidden="false" customHeight="false" outlineLevel="0" collapsed="false">
      <c r="A18" s="9"/>
      <c r="B18" s="17" t="n">
        <v>10</v>
      </c>
      <c r="C18" s="18"/>
      <c r="D18" s="18"/>
      <c r="E18" s="19"/>
      <c r="F18" s="20" t="b">
        <f aca="false">FALSE()</f>
        <v>0</v>
      </c>
      <c r="G18" s="11"/>
    </row>
    <row r="19" customFormat="false" ht="15" hidden="false" customHeight="false" outlineLevel="0" collapsed="false">
      <c r="A19" s="9"/>
      <c r="B19" s="17" t="n">
        <v>11</v>
      </c>
      <c r="C19" s="18"/>
      <c r="D19" s="18"/>
      <c r="E19" s="19"/>
      <c r="F19" s="20" t="b">
        <f aca="false">FALSE()</f>
        <v>0</v>
      </c>
      <c r="G19" s="11"/>
    </row>
    <row r="20" customFormat="false" ht="15" hidden="false" customHeight="false" outlineLevel="0" collapsed="false">
      <c r="A20" s="9"/>
      <c r="B20" s="17" t="n">
        <v>12</v>
      </c>
      <c r="C20" s="18"/>
      <c r="D20" s="18"/>
      <c r="E20" s="19"/>
      <c r="F20" s="20" t="b">
        <f aca="false">FALSE()</f>
        <v>0</v>
      </c>
      <c r="G20" s="11"/>
    </row>
    <row r="21" customFormat="false" ht="15" hidden="false" customHeight="false" outlineLevel="0" collapsed="false">
      <c r="A21" s="9"/>
      <c r="B21" s="17" t="n">
        <v>13</v>
      </c>
      <c r="C21" s="18"/>
      <c r="D21" s="18"/>
      <c r="E21" s="19"/>
      <c r="F21" s="20" t="b">
        <f aca="false">FALSE()</f>
        <v>0</v>
      </c>
      <c r="G21" s="11"/>
    </row>
    <row r="22" customFormat="false" ht="15" hidden="false" customHeight="false" outlineLevel="0" collapsed="false">
      <c r="A22" s="9"/>
      <c r="B22" s="17" t="n">
        <v>14</v>
      </c>
      <c r="C22" s="18"/>
      <c r="D22" s="18"/>
      <c r="E22" s="19"/>
      <c r="F22" s="20" t="b">
        <f aca="false">FALSE()</f>
        <v>0</v>
      </c>
      <c r="G22" s="11"/>
    </row>
    <row r="23" customFormat="false" ht="15" hidden="false" customHeight="false" outlineLevel="0" collapsed="false">
      <c r="A23" s="9"/>
      <c r="B23" s="17" t="n">
        <v>15</v>
      </c>
      <c r="C23" s="18"/>
      <c r="D23" s="18"/>
      <c r="E23" s="19"/>
      <c r="F23" s="20" t="b">
        <f aca="false">FALSE()</f>
        <v>0</v>
      </c>
      <c r="G23" s="11"/>
    </row>
    <row r="24" customFormat="false" ht="15" hidden="false" customHeight="false" outlineLevel="0" collapsed="false">
      <c r="A24" s="9"/>
      <c r="B24" s="17" t="n">
        <v>16</v>
      </c>
      <c r="C24" s="18"/>
      <c r="D24" s="18"/>
      <c r="E24" s="19"/>
      <c r="F24" s="20" t="b">
        <f aca="false">FALSE()</f>
        <v>0</v>
      </c>
      <c r="G24" s="11"/>
    </row>
    <row r="25" customFormat="false" ht="15" hidden="false" customHeight="false" outlineLevel="0" collapsed="false">
      <c r="A25" s="9"/>
      <c r="B25" s="17" t="n">
        <v>17</v>
      </c>
      <c r="C25" s="18"/>
      <c r="D25" s="18"/>
      <c r="E25" s="19"/>
      <c r="F25" s="20" t="b">
        <f aca="false">FALSE()</f>
        <v>0</v>
      </c>
      <c r="G25" s="11"/>
    </row>
    <row r="26" customFormat="false" ht="15" hidden="false" customHeight="false" outlineLevel="0" collapsed="false">
      <c r="A26" s="9"/>
      <c r="B26" s="17" t="n">
        <v>18</v>
      </c>
      <c r="C26" s="18"/>
      <c r="D26" s="18"/>
      <c r="E26" s="19"/>
      <c r="F26" s="20" t="b">
        <f aca="false">FALSE()</f>
        <v>0</v>
      </c>
      <c r="G26" s="11"/>
    </row>
    <row r="27" customFormat="false" ht="15" hidden="false" customHeight="false" outlineLevel="0" collapsed="false">
      <c r="A27" s="9"/>
      <c r="B27" s="17" t="n">
        <v>19</v>
      </c>
      <c r="C27" s="18"/>
      <c r="D27" s="18"/>
      <c r="E27" s="19"/>
      <c r="F27" s="20" t="b">
        <f aca="false">FALSE()</f>
        <v>0</v>
      </c>
      <c r="G27" s="11"/>
    </row>
    <row r="28" customFormat="false" ht="15" hidden="false" customHeight="false" outlineLevel="0" collapsed="false">
      <c r="A28" s="9"/>
      <c r="B28" s="17" t="n">
        <v>20</v>
      </c>
      <c r="C28" s="18"/>
      <c r="D28" s="18"/>
      <c r="E28" s="19"/>
      <c r="F28" s="20" t="b">
        <f aca="false">FALSE()</f>
        <v>0</v>
      </c>
      <c r="G28" s="11"/>
    </row>
    <row r="29" customFormat="false" ht="15" hidden="false" customHeight="false" outlineLevel="0" collapsed="false">
      <c r="A29" s="9"/>
      <c r="B29" s="17" t="n">
        <v>21</v>
      </c>
      <c r="C29" s="18"/>
      <c r="D29" s="18"/>
      <c r="E29" s="19"/>
      <c r="F29" s="20" t="b">
        <f aca="false">FALSE()</f>
        <v>0</v>
      </c>
      <c r="G29" s="11"/>
    </row>
    <row r="30" customFormat="false" ht="15" hidden="false" customHeight="false" outlineLevel="0" collapsed="false">
      <c r="A30" s="9"/>
      <c r="B30" s="17" t="n">
        <v>22</v>
      </c>
      <c r="C30" s="18"/>
      <c r="D30" s="18"/>
      <c r="E30" s="19"/>
      <c r="F30" s="20" t="b">
        <f aca="false">FALSE()</f>
        <v>0</v>
      </c>
      <c r="G30" s="11"/>
    </row>
    <row r="31" customFormat="false" ht="15" hidden="false" customHeight="false" outlineLevel="0" collapsed="false">
      <c r="A31" s="9"/>
      <c r="B31" s="17" t="n">
        <v>23</v>
      </c>
      <c r="C31" s="18"/>
      <c r="D31" s="18"/>
      <c r="E31" s="19"/>
      <c r="F31" s="20" t="b">
        <f aca="false">FALSE()</f>
        <v>0</v>
      </c>
      <c r="G31" s="11"/>
    </row>
    <row r="32" customFormat="false" ht="15" hidden="false" customHeight="false" outlineLevel="0" collapsed="false">
      <c r="A32" s="9"/>
      <c r="B32" s="17" t="n">
        <v>24</v>
      </c>
      <c r="C32" s="18"/>
      <c r="D32" s="18"/>
      <c r="E32" s="19"/>
      <c r="F32" s="20" t="b">
        <f aca="false">FALSE()</f>
        <v>0</v>
      </c>
      <c r="G32" s="11"/>
    </row>
    <row r="33" customFormat="false" ht="15" hidden="false" customHeight="false" outlineLevel="0" collapsed="false">
      <c r="A33" s="9"/>
      <c r="B33" s="17" t="n">
        <v>25</v>
      </c>
      <c r="C33" s="18"/>
      <c r="D33" s="18"/>
      <c r="E33" s="19"/>
      <c r="F33" s="20" t="b">
        <f aca="false">FALSE()</f>
        <v>0</v>
      </c>
      <c r="G33" s="11"/>
    </row>
    <row r="34" customFormat="false" ht="15" hidden="false" customHeight="false" outlineLevel="0" collapsed="false">
      <c r="A34" s="9"/>
      <c r="B34" s="17" t="n">
        <v>26</v>
      </c>
      <c r="C34" s="18"/>
      <c r="D34" s="18"/>
      <c r="E34" s="19"/>
      <c r="F34" s="20" t="b">
        <f aca="false">FALSE()</f>
        <v>0</v>
      </c>
      <c r="G34" s="11"/>
    </row>
    <row r="35" customFormat="false" ht="15" hidden="false" customHeight="false" outlineLevel="0" collapsed="false">
      <c r="A35" s="9"/>
      <c r="B35" s="17" t="n">
        <v>27</v>
      </c>
      <c r="C35" s="18"/>
      <c r="D35" s="18"/>
      <c r="E35" s="19"/>
      <c r="F35" s="20" t="b">
        <f aca="false">FALSE()</f>
        <v>0</v>
      </c>
      <c r="G35" s="11"/>
    </row>
    <row r="36" customFormat="false" ht="15" hidden="false" customHeight="false" outlineLevel="0" collapsed="false">
      <c r="A36" s="9"/>
      <c r="B36" s="17" t="n">
        <v>28</v>
      </c>
      <c r="C36" s="18"/>
      <c r="D36" s="18"/>
      <c r="E36" s="19"/>
      <c r="F36" s="20" t="b">
        <f aca="false">FALSE()</f>
        <v>0</v>
      </c>
      <c r="G36" s="11"/>
    </row>
    <row r="37" customFormat="false" ht="15" hidden="false" customHeight="false" outlineLevel="0" collapsed="false">
      <c r="A37" s="9"/>
      <c r="B37" s="17" t="n">
        <v>29</v>
      </c>
      <c r="C37" s="18"/>
      <c r="D37" s="18"/>
      <c r="E37" s="19"/>
      <c r="F37" s="20" t="b">
        <f aca="false">FALSE()</f>
        <v>0</v>
      </c>
      <c r="G37" s="11"/>
    </row>
    <row r="38" customFormat="false" ht="15" hidden="false" customHeight="false" outlineLevel="0" collapsed="false">
      <c r="A38" s="9"/>
      <c r="B38" s="17" t="n">
        <v>30</v>
      </c>
      <c r="C38" s="18"/>
      <c r="D38" s="18"/>
      <c r="E38" s="19"/>
      <c r="F38" s="20" t="b">
        <f aca="false">FALSE()</f>
        <v>0</v>
      </c>
      <c r="G38" s="11"/>
    </row>
    <row r="39" customFormat="false" ht="15" hidden="false" customHeight="false" outlineLevel="0" collapsed="false">
      <c r="A39" s="9"/>
      <c r="B39" s="17" t="n">
        <v>31</v>
      </c>
      <c r="C39" s="18"/>
      <c r="D39" s="18"/>
      <c r="E39" s="19"/>
      <c r="F39" s="20" t="b">
        <f aca="false">FALSE()</f>
        <v>0</v>
      </c>
      <c r="G39" s="11"/>
    </row>
    <row r="40" customFormat="false" ht="15" hidden="false" customHeight="false" outlineLevel="0" collapsed="false">
      <c r="A40" s="9"/>
      <c r="B40" s="17" t="n">
        <v>32</v>
      </c>
      <c r="C40" s="18"/>
      <c r="D40" s="18"/>
      <c r="E40" s="19"/>
      <c r="F40" s="20" t="b">
        <f aca="false">FALSE()</f>
        <v>0</v>
      </c>
      <c r="G40" s="11"/>
    </row>
    <row r="41" customFormat="false" ht="15" hidden="false" customHeight="false" outlineLevel="0" collapsed="false">
      <c r="A41" s="9"/>
      <c r="B41" s="17" t="n">
        <v>33</v>
      </c>
      <c r="C41" s="18"/>
      <c r="D41" s="18"/>
      <c r="E41" s="19"/>
      <c r="F41" s="20" t="b">
        <f aca="false">FALSE()</f>
        <v>0</v>
      </c>
      <c r="G41" s="11"/>
    </row>
    <row r="42" customFormat="false" ht="15" hidden="false" customHeight="false" outlineLevel="0" collapsed="false">
      <c r="A42" s="9"/>
      <c r="B42" s="17" t="n">
        <v>34</v>
      </c>
      <c r="C42" s="18"/>
      <c r="D42" s="18"/>
      <c r="E42" s="19"/>
      <c r="F42" s="20" t="b">
        <f aca="false">FALSE()</f>
        <v>0</v>
      </c>
      <c r="G42" s="11"/>
    </row>
    <row r="43" customFormat="false" ht="6" hidden="false" customHeight="true" outlineLevel="0" collapsed="false">
      <c r="A43" s="21"/>
      <c r="B43" s="22"/>
      <c r="C43" s="23"/>
      <c r="D43" s="23"/>
      <c r="E43" s="23"/>
      <c r="F43" s="24"/>
      <c r="G43" s="25"/>
    </row>
  </sheetData>
  <mergeCells count="7">
    <mergeCell ref="B2:F2"/>
    <mergeCell ref="B4:D4"/>
    <mergeCell ref="E4:F4"/>
    <mergeCell ref="B5:D5"/>
    <mergeCell ref="E5:F5"/>
    <mergeCell ref="B6:D6"/>
    <mergeCell ref="E6:F6"/>
  </mergeCells>
  <conditionalFormatting sqref="F9:F42">
    <cfRule type="iconSet" priority="2">
      <iconSet iconSet="3Arrows">
        <cfvo type="percent" val="0"/>
        <cfvo type="percent" val="33"/>
        <cfvo type="percent" val="67"/>
      </iconSe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75390625" defaultRowHeight="15" zeroHeight="false" outlineLevelRow="0" outlineLevelCol="0"/>
  <cols>
    <col collapsed="false" customWidth="true" hidden="false" outlineLevel="0" max="1" min="1" style="26" width="24.57"/>
    <col collapsed="false" customWidth="true" hidden="false" outlineLevel="0" max="5" min="2" style="26" width="19.71"/>
    <col collapsed="false" customWidth="true" hidden="false" outlineLevel="0" max="6" min="6" style="26" width="22.43"/>
    <col collapsed="false" customWidth="true" hidden="false" outlineLevel="0" max="7" min="7" style="26" width="25.43"/>
  </cols>
  <sheetData>
    <row r="1" customFormat="false" ht="75" hidden="false" customHeight="true" outlineLevel="0" collapsed="false">
      <c r="A1" s="27" t="s">
        <v>13</v>
      </c>
      <c r="B1" s="27" t="s">
        <v>14</v>
      </c>
      <c r="C1" s="27"/>
      <c r="D1" s="27"/>
      <c r="E1" s="27" t="s">
        <v>15</v>
      </c>
      <c r="F1" s="27" t="s">
        <v>16</v>
      </c>
      <c r="G1" s="27" t="s">
        <v>17</v>
      </c>
    </row>
    <row r="2" customFormat="false" ht="33" hidden="false" customHeight="true" outlineLevel="0" collapsed="false">
      <c r="A2" s="28" t="n">
        <v>7025876.23</v>
      </c>
      <c r="B2" s="28" t="n">
        <v>500000</v>
      </c>
      <c r="C2" s="28" t="n">
        <v>0</v>
      </c>
      <c r="D2" s="28" t="n">
        <v>6035026</v>
      </c>
      <c r="E2" s="28" t="n">
        <f aca="false">SUM(A2:D2)</f>
        <v>13560902.23</v>
      </c>
      <c r="F2" s="28" t="n">
        <f aca="false">-B20</f>
        <v>-1455251.58</v>
      </c>
      <c r="G2" s="29" t="n">
        <f aca="false">SUM(E2:F2)</f>
        <v>12105650.65</v>
      </c>
    </row>
    <row r="3" customFormat="false" ht="11.25" hidden="false" customHeight="true" outlineLevel="0" collapsed="false">
      <c r="A3" s="30"/>
      <c r="B3" s="30"/>
      <c r="C3" s="30"/>
      <c r="D3" s="30"/>
      <c r="E3" s="30"/>
      <c r="F3" s="30"/>
      <c r="G3" s="31"/>
    </row>
    <row r="4" customFormat="false" ht="33" hidden="false" customHeight="true" outlineLevel="0" collapsed="false">
      <c r="A4" s="32" t="s">
        <v>18</v>
      </c>
      <c r="B4" s="32"/>
      <c r="C4" s="33"/>
      <c r="D4" s="33"/>
      <c r="E4" s="33"/>
      <c r="F4" s="33"/>
      <c r="G4" s="33"/>
    </row>
    <row r="5" customFormat="false" ht="27.75" hidden="false" customHeight="false" outlineLevel="0" collapsed="false">
      <c r="A5" s="32" t="s">
        <v>19</v>
      </c>
      <c r="B5" s="34" t="n">
        <v>635228.34</v>
      </c>
      <c r="C5" s="35"/>
      <c r="D5" s="35"/>
      <c r="E5" s="35"/>
      <c r="F5" s="35"/>
      <c r="G5" s="35"/>
    </row>
    <row r="6" customFormat="false" ht="15" hidden="false" customHeight="false" outlineLevel="0" collapsed="false">
      <c r="A6" s="32" t="s">
        <v>20</v>
      </c>
      <c r="B6" s="34" t="n">
        <f aca="false">410011.62*2</f>
        <v>820023.24</v>
      </c>
      <c r="C6" s="35"/>
      <c r="D6" s="35"/>
      <c r="E6" s="35"/>
      <c r="F6" s="35"/>
      <c r="G6" s="35"/>
    </row>
    <row r="7" customFormat="false" ht="15" hidden="false" customHeight="false" outlineLevel="0" collapsed="false">
      <c r="A7" s="32" t="s">
        <v>21</v>
      </c>
      <c r="B7" s="34" t="n">
        <v>0</v>
      </c>
      <c r="C7" s="35"/>
      <c r="D7" s="35"/>
      <c r="E7" s="35"/>
      <c r="F7" s="35"/>
      <c r="G7" s="35"/>
    </row>
    <row r="8" customFormat="false" ht="15" hidden="false" customHeight="false" outlineLevel="0" collapsed="false">
      <c r="A8" s="32" t="s">
        <v>22</v>
      </c>
      <c r="B8" s="34" t="n">
        <v>0</v>
      </c>
      <c r="C8" s="35"/>
      <c r="D8" s="35"/>
      <c r="E8" s="35"/>
      <c r="F8" s="35"/>
      <c r="G8" s="35"/>
    </row>
    <row r="9" customFormat="false" ht="15" hidden="false" customHeight="false" outlineLevel="0" collapsed="false">
      <c r="A9" s="32" t="s">
        <v>23</v>
      </c>
      <c r="B9" s="34"/>
      <c r="C9" s="35"/>
      <c r="D9" s="35"/>
      <c r="E9" s="35"/>
      <c r="F9" s="35"/>
      <c r="G9" s="35"/>
    </row>
    <row r="10" customFormat="false" ht="27.75" hidden="false" customHeight="false" outlineLevel="0" collapsed="false">
      <c r="A10" s="32" t="s">
        <v>24</v>
      </c>
      <c r="B10" s="34"/>
      <c r="C10" s="35"/>
      <c r="D10" s="35"/>
      <c r="E10" s="35"/>
      <c r="F10" s="35"/>
      <c r="G10" s="35"/>
    </row>
    <row r="11" customFormat="false" ht="27.75" hidden="false" customHeight="false" outlineLevel="0" collapsed="false">
      <c r="A11" s="32" t="s">
        <v>25</v>
      </c>
      <c r="B11" s="34"/>
    </row>
    <row r="12" customFormat="false" ht="41.25" hidden="false" customHeight="false" outlineLevel="0" collapsed="false">
      <c r="A12" s="32" t="s">
        <v>26</v>
      </c>
      <c r="B12" s="34"/>
    </row>
    <row r="13" customFormat="false" ht="23.85" hidden="false" customHeight="false" outlineLevel="0" collapsed="false">
      <c r="A13" s="32" t="s">
        <v>27</v>
      </c>
      <c r="B13" s="34"/>
    </row>
    <row r="14" customFormat="false" ht="27.75" hidden="false" customHeight="false" outlineLevel="0" collapsed="false">
      <c r="A14" s="32" t="s">
        <v>28</v>
      </c>
      <c r="B14" s="34"/>
    </row>
    <row r="15" customFormat="false" ht="15" hidden="false" customHeight="false" outlineLevel="0" collapsed="false">
      <c r="A15" s="32"/>
      <c r="B15" s="34"/>
    </row>
    <row r="16" customFormat="false" ht="15" hidden="false" customHeight="false" outlineLevel="0" collapsed="false">
      <c r="A16" s="32"/>
      <c r="B16" s="34"/>
    </row>
    <row r="17" customFormat="false" ht="15" hidden="false" customHeight="false" outlineLevel="0" collapsed="false">
      <c r="A17" s="32"/>
      <c r="B17" s="34"/>
    </row>
    <row r="18" customFormat="false" ht="15" hidden="false" customHeight="false" outlineLevel="0" collapsed="false">
      <c r="A18" s="32"/>
      <c r="B18" s="34"/>
    </row>
    <row r="19" customFormat="false" ht="15" hidden="false" customHeight="false" outlineLevel="0" collapsed="false">
      <c r="A19" s="32"/>
      <c r="B19" s="34"/>
    </row>
    <row r="20" customFormat="false" ht="15" hidden="false" customHeight="false" outlineLevel="0" collapsed="false">
      <c r="A20" s="32" t="s">
        <v>29</v>
      </c>
      <c r="B20" s="34" t="n">
        <f aca="false">SUM(B5:B19)</f>
        <v>1455251.58</v>
      </c>
    </row>
  </sheetData>
  <mergeCells count="2">
    <mergeCell ref="B1:D1"/>
    <mergeCell ref="A4:B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2025-04-01T11:44:29Z</dcterms:created>
  <dc:creator/>
  <dc:description/>
  <dc:language>pt-BR</dc:language>
  <cp:lastModifiedBy/>
  <dcterms:modified xsi:type="dcterms:W3CDTF">2025-09-23T14:42:44Z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